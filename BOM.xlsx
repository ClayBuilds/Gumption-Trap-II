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<sst xmlns="http://schemas.openxmlformats.org/spreadsheetml/2006/main" count="199" uniqueCount="166">
  <si>
    <t xml:space="preserve">GUMPTION TRAP 2.0 BOM</t>
  </si>
  <si>
    <t xml:space="preserve">item</t>
  </si>
  <si>
    <t xml:space="preserve">name</t>
  </si>
  <si>
    <t xml:space="preserve">description</t>
  </si>
  <si>
    <t xml:space="preserve">part no</t>
  </si>
  <si>
    <t xml:space="preserve">source</t>
  </si>
  <si>
    <t xml:space="preserve">qty</t>
  </si>
  <si>
    <t xml:space="preserve">weight ea (lb)</t>
  </si>
  <si>
    <t xml:space="preserve">weight total (lb)</t>
  </si>
  <si>
    <t xml:space="preserve">cost ea</t>
  </si>
  <si>
    <t xml:space="preserve">cost total</t>
  </si>
  <si>
    <t xml:space="preserve">link</t>
  </si>
  <si>
    <t xml:space="preserve">note</t>
  </si>
  <si>
    <t xml:space="preserve">1/4-20 x 9" Hex Screw</t>
  </si>
  <si>
    <t xml:space="preserve">largebolts that attach panel assemblies to deck mounts</t>
  </si>
  <si>
    <t xml:space="preserve">92800A368</t>
  </si>
  <si>
    <t xml:space="preserve">McMaster</t>
  </si>
  <si>
    <t xml:space="preserve">https://www.mcmaster.com/92800A368/</t>
  </si>
  <si>
    <t xml:space="preserve">could save money with cheap threaded rods, but more difficult to assemble</t>
  </si>
  <si>
    <t xml:space="preserve">Short Bar Mount</t>
  </si>
  <si>
    <t xml:space="preserve">3d printed mount which captures nut for item 1, epoxied to deck</t>
  </si>
  <si>
    <t xml:space="preserve">3D printed</t>
  </si>
  <si>
    <t xml:space="preserve">Long Bar Mount</t>
  </si>
  <si>
    <t xml:space="preserve">3d printed mount which holds item 1, epoxied to deck</t>
  </si>
  <si>
    <t xml:space="preserve">rudder</t>
  </si>
  <si>
    <t xml:space="preserve">laser cut acryllic</t>
  </si>
  <si>
    <t xml:space="preserve">DIY laser</t>
  </si>
  <si>
    <t xml:space="preserve">battery</t>
  </si>
  <si>
    <t xml:space="preserve">12v 10Ah LiFePO4 with BMS</t>
  </si>
  <si>
    <t xml:space="preserve">ECO-LFP1210</t>
  </si>
  <si>
    <t xml:space="preserve">ebay</t>
  </si>
  <si>
    <t xml:space="preserve">Rudder Servo</t>
  </si>
  <si>
    <t xml:space="preserve">dfrobot 45kg ip67 servo</t>
  </si>
  <si>
    <t xml:space="preserve">d5545gs</t>
  </si>
  <si>
    <t xml:space="preserve">digikey</t>
  </si>
  <si>
    <t xml:space="preserve">https://www.hobbyporter.com/products/e-power-d5545gs-aluminum-case-metal-grear-coreless-digital-45kg-011sec-hv-servo-3556</t>
  </si>
  <si>
    <t xml:space="preserve">range 500-1500-2500 us</t>
  </si>
  <si>
    <t xml:space="preserve">10-32 ball joint rod end</t>
  </si>
  <si>
    <t xml:space="preserve">one right hand, one left hand</t>
  </si>
  <si>
    <t xml:space="preserve">60645K11</t>
  </si>
  <si>
    <t xml:space="preserve">https://www.mcmaster.com/catalog/130/1481/60645K11</t>
  </si>
  <si>
    <t xml:space="preserve">10-32 turnbuckle coupler</t>
  </si>
  <si>
    <t xml:space="preserve">to be cut in half to form tie rod threaded ends</t>
  </si>
  <si>
    <t xml:space="preserve">8419K126</t>
  </si>
  <si>
    <t xml:space="preserve">https://www.mcmaster.com/catalog/130/1488/8419K126</t>
  </si>
  <si>
    <t xml:space="preserve">Complete Hull Assembly stbd</t>
  </si>
  <si>
    <t xml:space="preserve">painted hull with deck, deck fasteners, gasket, etc.</t>
  </si>
  <si>
    <t xml:space="preserve">Homebuilt</t>
  </si>
  <si>
    <t xml:space="preserve">Complete Hull Assembly port</t>
  </si>
  <si>
    <t xml:space="preserve">This hull was made first and less well built with excess epoxy and fiberglass</t>
  </si>
  <si>
    <t xml:space="preserve">Large rudder pulley</t>
  </si>
  <si>
    <t xml:space="preserve">60 tooth gt2 pulley</t>
  </si>
  <si>
    <t xml:space="preserve">Amazon</t>
  </si>
  <si>
    <t xml:space="preserve">https://www.amazon.com/gp/product/B09JSQ1W3S/ref=ppx_yo_dt_b_asin_title_o06_s00?ie=UTF8&amp;th=1</t>
  </si>
  <si>
    <t xml:space="preserve">Small Rudder pulley</t>
  </si>
  <si>
    <t xml:space="preserve">32 tooth gt2 pulley</t>
  </si>
  <si>
    <t xml:space="preserve">model based on McMaster 3764N112</t>
  </si>
  <si>
    <t xml:space="preserve">Belt</t>
  </si>
  <si>
    <t xml:space="preserve">gt2 belt, 200mm length</t>
  </si>
  <si>
    <t xml:space="preserve">unknown</t>
  </si>
  <si>
    <t xml:space="preserve">Solar Panel</t>
  </si>
  <si>
    <t xml:space="preserve">Harbor Freight 100W 18VDC nominal</t>
  </si>
  <si>
    <t xml:space="preserve">Harbor Freight</t>
  </si>
  <si>
    <t xml:space="preserve">https://www.harborfreight.com/100-watt-monocrystalline-solar-panel-57325.html</t>
  </si>
  <si>
    <t xml:space="preserve">battery mount </t>
  </si>
  <si>
    <t xml:space="preserve">holds batteries inside hulls</t>
  </si>
  <si>
    <t xml:space="preserve">motor mount bracket</t>
  </si>
  <si>
    <t xml:space="preserve">sheet metal aluminium, holds motors and rudders to hulls</t>
  </si>
  <si>
    <t xml:space="preserve">send cut send</t>
  </si>
  <si>
    <t xml:space="preserve">sheet metal bending, I had a mistake in my model for the motor hole pattern, check CAD before reordering</t>
  </si>
  <si>
    <t xml:space="preserve">motor</t>
  </si>
  <si>
    <t xml:space="preserve">Chinese no name, generic submersible 3 phase BLDC, ~300kv</t>
  </si>
  <si>
    <t xml:space="preserve">VGEBY1 F2838-350KV</t>
  </si>
  <si>
    <t xml:space="preserve">propellor</t>
  </si>
  <si>
    <t xml:space="preserve">torroidal, resin printed</t>
  </si>
  <si>
    <t xml:space="preserve">ping echosounder</t>
  </si>
  <si>
    <t xml:space="preserve">ping2</t>
  </si>
  <si>
    <t xml:space="preserve">blue robotics</t>
  </si>
  <si>
    <t xml:space="preserve">ping shroud</t>
  </si>
  <si>
    <t xml:space="preserve">upper rudder bracket</t>
  </si>
  <si>
    <t xml:space="preserve">holds rudder to upper mount</t>
  </si>
  <si>
    <t xml:space="preserve">lower rudder bracket</t>
  </si>
  <si>
    <t xml:space="preserve">holds rudder to lower mount</t>
  </si>
  <si>
    <t xml:space="preserve">transom plate</t>
  </si>
  <si>
    <t xml:space="preserve">1/4" 316ss with 1/4-20 mounting holes</t>
  </si>
  <si>
    <t xml:space="preserve">commercial laser</t>
  </si>
  <si>
    <t xml:space="preserve">included in hull</t>
  </si>
  <si>
    <t xml:space="preserve">motor mount bracket spacers</t>
  </si>
  <si>
    <t xml:space="preserve">various sizes, adjusted to straighten the mounts</t>
  </si>
  <si>
    <t xml:space="preserve">motor mount bracket bolts</t>
  </si>
  <si>
    <t xml:space="preserve">1/4-20, various lengths</t>
  </si>
  <si>
    <t xml:space="preserve">Local Hardware</t>
  </si>
  <si>
    <t xml:space="preserve">pcbmount</t>
  </si>
  <si>
    <t xml:space="preserve">holds pcb inside hull</t>
  </si>
  <si>
    <t xml:space="preserve">ESC</t>
  </si>
  <si>
    <t xml:space="preserve">bidirectional, 50A 3 phase BLDC</t>
  </si>
  <si>
    <t xml:space="preserve">3 pin bulkheads</t>
  </si>
  <si>
    <t xml:space="preserve">3 pin plugs</t>
  </si>
  <si>
    <t xml:space="preserve">10 pin plug</t>
  </si>
  <si>
    <t xml:space="preserve">plug, female, 10p, solder cup</t>
  </si>
  <si>
    <t xml:space="preserve">2150-22010211-01-ND</t>
  </si>
  <si>
    <t xml:space="preserve">10 pin bulkhead</t>
  </si>
  <si>
    <t xml:space="preserve">receptacle, male, 10pos, solder cup</t>
  </si>
  <si>
    <t xml:space="preserve">2150-22010515-01-ND</t>
  </si>
  <si>
    <t xml:space="preserve">solar charge controller</t>
  </si>
  <si>
    <t xml:space="preserve">12v 100A Chinese</t>
  </si>
  <si>
    <t xml:space="preserve">X003BAPJCB 
23EB0028
A3D472F</t>
  </si>
  <si>
    <t xml:space="preserve">charge controller mount</t>
  </si>
  <si>
    <t xml:space="preserve">holds solar charge controller inside hull</t>
  </si>
  <si>
    <t xml:space="preserve">main PCB</t>
  </si>
  <si>
    <t xml:space="preserve">custom, gumption trap version 1.2</t>
  </si>
  <si>
    <t xml:space="preserve">JLCPCB</t>
  </si>
  <si>
    <t xml:space="preserve">weight as assembled including all electronics, mount, hardware, antenna adapter</t>
  </si>
  <si>
    <t xml:space="preserve">current sensor</t>
  </si>
  <si>
    <t xml:space="preserve">INA260</t>
  </si>
  <si>
    <t xml:space="preserve">adafruit</t>
  </si>
  <si>
    <t xml:space="preserve">gps module</t>
  </si>
  <si>
    <t xml:space="preserve">NEO-6M</t>
  </si>
  <si>
    <t xml:space="preserve">remote gps antenna</t>
  </si>
  <si>
    <t xml:space="preserve">remote gps antenna adapter</t>
  </si>
  <si>
    <t xml:space="preserve">magnetometer</t>
  </si>
  <si>
    <t xml:space="preserve">LSM303AGR</t>
  </si>
  <si>
    <t xml:space="preserve">i2c breakout board</t>
  </si>
  <si>
    <t xml:space="preserve">sd card reader</t>
  </si>
  <si>
    <t xml:space="preserve">Adafruit Micro-SD Breakout Board+ (PID 264)</t>
  </si>
  <si>
    <t xml:space="preserve">teensy 4.0</t>
  </si>
  <si>
    <t xml:space="preserve">Microcenter</t>
  </si>
  <si>
    <t xml:space="preserve">3v3 regulator</t>
  </si>
  <si>
    <t xml:space="preserve">on PCB, supplies components that need 3v</t>
  </si>
  <si>
    <t xml:space="preserve">capacitor</t>
  </si>
  <si>
    <t xml:space="preserve">on PCB, for smoothing power</t>
  </si>
  <si>
    <t xml:space="preserve">DC DC converter</t>
  </si>
  <si>
    <t xml:space="preserve">5A, Buck/Boost</t>
  </si>
  <si>
    <t xml:space="preserve">DFR0946</t>
  </si>
  <si>
    <t xml:space="preserve">Dfrobot</t>
  </si>
  <si>
    <t xml:space="preserve">Aluminum Extrusions</t>
  </si>
  <si>
    <t xml:space="preserve">2020 profile, used as framework for hull to panel attachment</t>
  </si>
  <si>
    <t xml:space="preserve">Servo Mount</t>
  </si>
  <si>
    <t xml:space="preserve">PETG for high strength and UV resistance.</t>
  </si>
  <si>
    <t xml:space="preserve">Servo Linkage</t>
  </si>
  <si>
    <t xml:space="preserve">M3 RC Car tie rod with ball joints, no name brand</t>
  </si>
  <si>
    <t xml:space="preserve">Hobbytown USA</t>
  </si>
  <si>
    <t xml:space="preserve">lower strut mount</t>
  </si>
  <si>
    <t xml:space="preserve">resin printed, easily removeable fit</t>
  </si>
  <si>
    <t xml:space="preserve">Upper Strut Mount</t>
  </si>
  <si>
    <t xml:space="preserve">FDM printed, white for less sun absoption. Mounts receivers</t>
  </si>
  <si>
    <t xml:space="preserve">Strut</t>
  </si>
  <si>
    <t xml:space="preserve">Aluminium aero profile, 3/4" streamline</t>
  </si>
  <si>
    <t xml:space="preserve">Stock # 1105</t>
  </si>
  <si>
    <t xml:space="preserve">KS Precision Metals</t>
  </si>
  <si>
    <t xml:space="preserve">10-32 left hand nut</t>
  </si>
  <si>
    <t xml:space="preserve">for tie rod</t>
  </si>
  <si>
    <t xml:space="preserve">tie rod</t>
  </si>
  <si>
    <t xml:space="preserve">aluminium tube, JB welded to turnbuckle coupler halves</t>
  </si>
  <si>
    <t xml:space="preserve">Home Depot</t>
  </si>
  <si>
    <t xml:space="preserve">RC Receiver</t>
  </si>
  <si>
    <t xml:space="preserve">Flysky FS-iA6B</t>
  </si>
  <si>
    <t xml:space="preserve">RC Transmitter</t>
  </si>
  <si>
    <t xml:space="preserve">Handheld</t>
  </si>
  <si>
    <t xml:space="preserve">Flysky FS-i6X</t>
  </si>
  <si>
    <t xml:space="preserve">Shoulder Screw</t>
  </si>
  <si>
    <t xml:space="preserve">used as half axle for rudder</t>
  </si>
  <si>
    <t xml:space="preserve">94035A309</t>
  </si>
  <si>
    <t xml:space="preserve">Nylon Sleeve Bearing</t>
  </si>
  <si>
    <t xml:space="preserve">bushing for rudder</t>
  </si>
  <si>
    <t xml:space="preserve">6389K445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</si>
</sst>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9"/>
      <color rgb="FF333333"/>
      <name val="Arial"/>
      <family val="2"/>
      <charset val="1"/>
    </font>
    <font>
      <u val="single"/>
      <sz val="11"/>
      <color theme="10"/>
      <name val="Aptos Narrow"/>
      <family val="2"/>
      <charset val="1"/>
    </font>
    <font>
      <sz val="14"/>
      <color rgb="FF000000"/>
      <name val="Arial"/>
      <family val="2"/>
      <charset val="1"/>
    </font>
    <font>
      <sz val="11"/>
      <color rgb="FF131313"/>
      <name val="Arial"/>
      <family val="2"/>
      <charset val="1"/>
    </font>
    <font>
      <sz val="11"/>
      <color rgb="FF0D0D0D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131313"/>
      <rgbColor rgb="FF0D0D0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obbyporter.com/products/e-power-d5545gs-aluminum-case-metal-grear-coreless-digital-45kg-011sec-hv-servo-3556" TargetMode="External"/><Relationship Id="rId2" Type="http://schemas.openxmlformats.org/officeDocument/2006/relationships/hyperlink" Target="https://www.mcmaster.com/catalog/60645K11" TargetMode="External"/><Relationship Id="rId3" Type="http://schemas.openxmlformats.org/officeDocument/2006/relationships/hyperlink" Target="https://www.mcmaster.com/catalog/8419K1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6" activeCellId="0" sqref="C4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7"/>
    <col collapsed="false" customWidth="true" hidden="false" outlineLevel="0" max="3" min="3" style="0" width="56.29"/>
    <col collapsed="false" customWidth="true" hidden="false" outlineLevel="0" max="4" min="4" style="0" width="21.14"/>
    <col collapsed="false" customWidth="true" hidden="false" outlineLevel="0" max="5" min="5" style="0" width="18.5"/>
    <col collapsed="false" customWidth="true" hidden="false" outlineLevel="0" max="6" min="6" style="0" width="7.86"/>
    <col collapsed="false" customWidth="true" hidden="false" outlineLevel="0" max="7" min="7" style="0" width="13.29"/>
    <col collapsed="false" customWidth="true" hidden="false" outlineLevel="0" max="8" min="8" style="0" width="14.4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s">
        <v>14</v>
      </c>
      <c r="D3" s="5" t="s">
        <v>15</v>
      </c>
      <c r="E3" s="6" t="s">
        <v>16</v>
      </c>
      <c r="F3" s="0" t="n">
        <v>8</v>
      </c>
      <c r="G3" s="6" t="n">
        <f aca="false">1.6/16</f>
        <v>0.1</v>
      </c>
      <c r="H3" s="6" t="n">
        <f aca="false">G3*F3</f>
        <v>0.8</v>
      </c>
      <c r="I3" s="0" t="n">
        <v>4.73</v>
      </c>
      <c r="J3" s="6" t="n">
        <f aca="false">I3*F3</f>
        <v>37.84</v>
      </c>
      <c r="K3" s="6" t="s">
        <v>17</v>
      </c>
      <c r="L3" s="6" t="s">
        <v>18</v>
      </c>
    </row>
    <row r="4" customFormat="false" ht="15" hidden="false" customHeight="false" outlineLevel="0" collapsed="false">
      <c r="A4" s="0" t="n">
        <v>2</v>
      </c>
      <c r="B4" s="0" t="s">
        <v>19</v>
      </c>
      <c r="C4" s="0" t="s">
        <v>20</v>
      </c>
      <c r="E4" s="0" t="s">
        <v>21</v>
      </c>
      <c r="F4" s="0" t="n">
        <v>8</v>
      </c>
      <c r="G4" s="0" t="n">
        <v>0.1</v>
      </c>
      <c r="H4" s="0" t="n">
        <f aca="false">G4*F4</f>
        <v>0.8</v>
      </c>
      <c r="J4" s="0" t="n">
        <f aca="false">I4*F4</f>
        <v>0</v>
      </c>
    </row>
    <row r="5" customFormat="false" ht="15" hidden="false" customHeight="false" outlineLevel="0" collapsed="false">
      <c r="A5" s="0" t="n">
        <v>3</v>
      </c>
      <c r="B5" s="0" t="s">
        <v>22</v>
      </c>
      <c r="C5" s="0" t="s">
        <v>23</v>
      </c>
      <c r="E5" s="0" t="s">
        <v>21</v>
      </c>
      <c r="F5" s="0" t="n">
        <v>8</v>
      </c>
      <c r="G5" s="0" t="n">
        <v>0.2</v>
      </c>
      <c r="H5" s="0" t="n">
        <f aca="false">G5*F5</f>
        <v>1.6</v>
      </c>
      <c r="J5" s="0" t="n">
        <f aca="false">I5*F5</f>
        <v>0</v>
      </c>
    </row>
    <row r="6" customFormat="false" ht="15" hidden="false" customHeight="false" outlineLevel="0" collapsed="false">
      <c r="A6" s="0" t="n">
        <v>4</v>
      </c>
      <c r="B6" s="0" t="s">
        <v>24</v>
      </c>
      <c r="C6" s="0" t="s">
        <v>25</v>
      </c>
      <c r="E6" s="0" t="s">
        <v>26</v>
      </c>
      <c r="F6" s="0" t="n">
        <v>1</v>
      </c>
      <c r="J6" s="0" t="n">
        <f aca="false">I6*F6</f>
        <v>0</v>
      </c>
    </row>
    <row r="7" customFormat="false" ht="15" hidden="false" customHeight="false" outlineLevel="0" collapsed="false">
      <c r="A7" s="0" t="n">
        <v>5</v>
      </c>
      <c r="B7" s="0" t="s">
        <v>27</v>
      </c>
      <c r="C7" s="0" t="s">
        <v>28</v>
      </c>
      <c r="D7" s="0" t="s">
        <v>29</v>
      </c>
      <c r="E7" s="0" t="s">
        <v>30</v>
      </c>
      <c r="F7" s="0" t="n">
        <v>2</v>
      </c>
      <c r="G7" s="0" t="n">
        <v>2.3</v>
      </c>
      <c r="H7" s="0" t="n">
        <f aca="false">G7*F7</f>
        <v>4.6</v>
      </c>
      <c r="J7" s="0" t="n">
        <f aca="false">I7*F7</f>
        <v>0</v>
      </c>
    </row>
    <row r="8" customFormat="false" ht="16.4" hidden="false" customHeight="false" outlineLevel="0" collapsed="false">
      <c r="A8" s="0" t="n">
        <v>6</v>
      </c>
      <c r="B8" s="0" t="s">
        <v>31</v>
      </c>
      <c r="C8" s="0" t="s">
        <v>32</v>
      </c>
      <c r="D8" s="0" t="s">
        <v>33</v>
      </c>
      <c r="E8" s="0" t="s">
        <v>34</v>
      </c>
      <c r="F8" s="0" t="n">
        <v>1</v>
      </c>
      <c r="G8" s="0" t="n">
        <v>0.2</v>
      </c>
      <c r="H8" s="0" t="n">
        <f aca="false">G8*F8</f>
        <v>0.2</v>
      </c>
      <c r="J8" s="0" t="n">
        <f aca="false">I8*F8</f>
        <v>0</v>
      </c>
      <c r="K8" s="7" t="s">
        <v>35</v>
      </c>
      <c r="L8" s="6" t="s">
        <v>36</v>
      </c>
    </row>
    <row r="9" customFormat="false" ht="16.4" hidden="false" customHeight="false" outlineLevel="0" collapsed="false">
      <c r="A9" s="0" t="n">
        <v>7</v>
      </c>
      <c r="B9" s="0" t="s">
        <v>37</v>
      </c>
      <c r="C9" s="0" t="s">
        <v>38</v>
      </c>
      <c r="D9" s="8" t="s">
        <v>39</v>
      </c>
      <c r="E9" s="6" t="s">
        <v>16</v>
      </c>
      <c r="F9" s="0" t="n">
        <v>2</v>
      </c>
      <c r="H9" s="6" t="n">
        <f aca="false">G9*F9</f>
        <v>0</v>
      </c>
      <c r="I9" s="0" t="n">
        <v>4.4</v>
      </c>
      <c r="J9" s="6" t="n">
        <f aca="false">I9*F9</f>
        <v>8.8</v>
      </c>
      <c r="K9" s="6" t="s">
        <v>40</v>
      </c>
    </row>
    <row r="10" customFormat="false" ht="16.4" hidden="false" customHeight="false" outlineLevel="0" collapsed="false">
      <c r="A10" s="0" t="n">
        <v>8</v>
      </c>
      <c r="B10" s="9" t="s">
        <v>41</v>
      </c>
      <c r="C10" s="6" t="s">
        <v>42</v>
      </c>
      <c r="D10" s="8" t="s">
        <v>43</v>
      </c>
      <c r="E10" s="6" t="s">
        <v>16</v>
      </c>
      <c r="F10" s="0" t="n">
        <v>1</v>
      </c>
      <c r="H10" s="6" t="n">
        <f aca="false">G10*F10</f>
        <v>0</v>
      </c>
      <c r="I10" s="0" t="n">
        <v>10.7</v>
      </c>
      <c r="J10" s="6" t="n">
        <f aca="false">I10*F10</f>
        <v>10.7</v>
      </c>
      <c r="K10" s="6" t="s">
        <v>44</v>
      </c>
    </row>
    <row r="11" customFormat="false" ht="15" hidden="false" customHeight="false" outlineLevel="0" collapsed="false">
      <c r="A11" s="0" t="n">
        <v>9</v>
      </c>
      <c r="B11" s="0" t="s">
        <v>45</v>
      </c>
      <c r="C11" s="0" t="s">
        <v>46</v>
      </c>
      <c r="E11" s="0" t="s">
        <v>47</v>
      </c>
      <c r="F11" s="0" t="n">
        <v>1</v>
      </c>
      <c r="G11" s="0" t="n">
        <v>15.2</v>
      </c>
      <c r="H11" s="0" t="n">
        <f aca="false">G11*F11</f>
        <v>15.2</v>
      </c>
    </row>
    <row r="12" customFormat="false" ht="15" hidden="false" customHeight="false" outlineLevel="0" collapsed="false">
      <c r="A12" s="0" t="n">
        <v>10</v>
      </c>
      <c r="B12" s="0" t="s">
        <v>48</v>
      </c>
      <c r="C12" s="0" t="s">
        <v>46</v>
      </c>
      <c r="E12" s="0" t="s">
        <v>47</v>
      </c>
      <c r="F12" s="0" t="n">
        <v>1</v>
      </c>
      <c r="G12" s="0" t="n">
        <v>17.7</v>
      </c>
      <c r="H12" s="0" t="n">
        <f aca="false">G12*F12</f>
        <v>17.7</v>
      </c>
      <c r="L12" s="0" t="s">
        <v>49</v>
      </c>
    </row>
    <row r="13" customFormat="false" ht="15" hidden="false" customHeight="false" outlineLevel="0" collapsed="false">
      <c r="A13" s="0" t="n">
        <v>11</v>
      </c>
      <c r="B13" s="0" t="s">
        <v>50</v>
      </c>
      <c r="C13" s="0" t="s">
        <v>51</v>
      </c>
      <c r="E13" s="0" t="s">
        <v>52</v>
      </c>
      <c r="F13" s="0" t="n">
        <v>1</v>
      </c>
      <c r="G13" s="0" t="n">
        <v>0.1</v>
      </c>
      <c r="H13" s="0" t="n">
        <f aca="false">G13*F13</f>
        <v>0.1</v>
      </c>
      <c r="I13" s="0" t="n">
        <v>4.5</v>
      </c>
      <c r="K13" s="0" t="s">
        <v>53</v>
      </c>
    </row>
    <row r="14" customFormat="false" ht="15" hidden="false" customHeight="false" outlineLevel="0" collapsed="false">
      <c r="A14" s="0" t="n">
        <v>12</v>
      </c>
      <c r="B14" s="0" t="s">
        <v>54</v>
      </c>
      <c r="C14" s="0" t="s">
        <v>55</v>
      </c>
      <c r="E14" s="0" t="s">
        <v>21</v>
      </c>
      <c r="F14" s="0" t="n">
        <v>1</v>
      </c>
      <c r="H14" s="0" t="n">
        <f aca="false">G14*F14</f>
        <v>0</v>
      </c>
      <c r="L14" s="0" t="s">
        <v>56</v>
      </c>
    </row>
    <row r="15" customFormat="false" ht="15" hidden="false" customHeight="false" outlineLevel="0" collapsed="false">
      <c r="A15" s="0" t="n">
        <v>13</v>
      </c>
      <c r="B15" s="0" t="s">
        <v>57</v>
      </c>
      <c r="C15" s="0" t="s">
        <v>58</v>
      </c>
      <c r="E15" s="0" t="s">
        <v>59</v>
      </c>
      <c r="F15" s="0" t="n">
        <v>1</v>
      </c>
      <c r="H15" s="0" t="n">
        <f aca="false">G15*F15</f>
        <v>0</v>
      </c>
    </row>
    <row r="16" customFormat="false" ht="17.35" hidden="false" customHeight="false" outlineLevel="0" collapsed="false">
      <c r="A16" s="0" t="n">
        <v>14</v>
      </c>
      <c r="B16" s="0" t="s">
        <v>60</v>
      </c>
      <c r="C16" s="0" t="s">
        <v>61</v>
      </c>
      <c r="D16" s="10" t="n">
        <v>57325</v>
      </c>
      <c r="E16" s="6" t="s">
        <v>62</v>
      </c>
      <c r="F16" s="0" t="n">
        <v>2</v>
      </c>
      <c r="G16" s="0" t="n">
        <v>15</v>
      </c>
      <c r="H16" s="6" t="n">
        <f aca="false">G16*F16</f>
        <v>30</v>
      </c>
      <c r="K16" s="6" t="s">
        <v>63</v>
      </c>
    </row>
    <row r="17" customFormat="false" ht="15" hidden="false" customHeight="false" outlineLevel="0" collapsed="false">
      <c r="A17" s="0" t="n">
        <v>15</v>
      </c>
      <c r="B17" s="0" t="s">
        <v>64</v>
      </c>
      <c r="C17" s="0" t="s">
        <v>65</v>
      </c>
      <c r="E17" s="0" t="s">
        <v>21</v>
      </c>
      <c r="F17" s="0" t="n">
        <v>4</v>
      </c>
      <c r="H17" s="0" t="n">
        <f aca="false">G17*F17</f>
        <v>0</v>
      </c>
    </row>
    <row r="18" customFormat="false" ht="15" hidden="false" customHeight="false" outlineLevel="0" collapsed="false">
      <c r="A18" s="0" t="n">
        <v>16</v>
      </c>
      <c r="B18" s="0" t="s">
        <v>66</v>
      </c>
      <c r="C18" s="0" t="s">
        <v>67</v>
      </c>
      <c r="E18" s="0" t="s">
        <v>68</v>
      </c>
      <c r="F18" s="0" t="n">
        <v>2</v>
      </c>
      <c r="G18" s="0" t="n">
        <v>0.3</v>
      </c>
      <c r="H18" s="0" t="n">
        <f aca="false">G18*F18</f>
        <v>0.6</v>
      </c>
      <c r="L18" s="0" t="s">
        <v>69</v>
      </c>
    </row>
    <row r="19" customFormat="false" ht="15" hidden="false" customHeight="false" outlineLevel="0" collapsed="false">
      <c r="A19" s="0" t="n">
        <v>17</v>
      </c>
      <c r="B19" s="0" t="s">
        <v>70</v>
      </c>
      <c r="C19" s="0" t="s">
        <v>71</v>
      </c>
      <c r="D19" s="11" t="s">
        <v>72</v>
      </c>
      <c r="E19" s="6" t="s">
        <v>52</v>
      </c>
      <c r="F19" s="0" t="n">
        <v>2</v>
      </c>
      <c r="H19" s="6" t="n">
        <f aca="false">G19*F19</f>
        <v>0</v>
      </c>
    </row>
    <row r="20" customFormat="false" ht="15" hidden="false" customHeight="false" outlineLevel="0" collapsed="false">
      <c r="A20" s="0" t="n">
        <v>18</v>
      </c>
      <c r="B20" s="0" t="s">
        <v>73</v>
      </c>
      <c r="C20" s="0" t="s">
        <v>74</v>
      </c>
      <c r="E20" s="0" t="s">
        <v>21</v>
      </c>
      <c r="F20" s="0" t="n">
        <v>2</v>
      </c>
      <c r="H20" s="0" t="n">
        <f aca="false">G20*F20</f>
        <v>0</v>
      </c>
    </row>
    <row r="21" customFormat="false" ht="15" hidden="false" customHeight="false" outlineLevel="0" collapsed="false">
      <c r="A21" s="0" t="n">
        <v>19</v>
      </c>
      <c r="B21" s="0" t="s">
        <v>75</v>
      </c>
      <c r="C21" s="0" t="s">
        <v>76</v>
      </c>
      <c r="E21" s="0" t="s">
        <v>77</v>
      </c>
      <c r="F21" s="0" t="n">
        <v>1</v>
      </c>
      <c r="G21" s="0" t="n">
        <v>0.4</v>
      </c>
      <c r="H21" s="0" t="n">
        <f aca="false">G21*F21</f>
        <v>0.4</v>
      </c>
      <c r="I21" s="0" t="n">
        <v>410</v>
      </c>
    </row>
    <row r="22" customFormat="false" ht="15" hidden="false" customHeight="false" outlineLevel="0" collapsed="false">
      <c r="A22" s="0" t="n">
        <v>20</v>
      </c>
      <c r="B22" s="0" t="s">
        <v>78</v>
      </c>
      <c r="E22" s="0" t="s">
        <v>21</v>
      </c>
      <c r="F22" s="0" t="n">
        <v>1</v>
      </c>
      <c r="H22" s="0" t="n">
        <f aca="false">G22*F22</f>
        <v>0</v>
      </c>
    </row>
    <row r="23" customFormat="false" ht="15" hidden="false" customHeight="false" outlineLevel="0" collapsed="false">
      <c r="A23" s="0" t="n">
        <v>21</v>
      </c>
      <c r="B23" s="0" t="s">
        <v>79</v>
      </c>
      <c r="C23" s="0" t="s">
        <v>80</v>
      </c>
      <c r="E23" s="0" t="s">
        <v>21</v>
      </c>
      <c r="F23" s="0" t="n">
        <v>2</v>
      </c>
      <c r="H23" s="0" t="n">
        <f aca="false">G23*F23</f>
        <v>0</v>
      </c>
    </row>
    <row r="24" customFormat="false" ht="15" hidden="false" customHeight="false" outlineLevel="0" collapsed="false">
      <c r="A24" s="0" t="n">
        <v>22</v>
      </c>
      <c r="B24" s="0" t="s">
        <v>81</v>
      </c>
      <c r="C24" s="0" t="s">
        <v>82</v>
      </c>
      <c r="E24" s="0" t="s">
        <v>21</v>
      </c>
      <c r="F24" s="0" t="n">
        <v>2</v>
      </c>
      <c r="H24" s="0" t="n">
        <f aca="false">G24*F24</f>
        <v>0</v>
      </c>
    </row>
    <row r="25" customFormat="false" ht="15" hidden="false" customHeight="false" outlineLevel="0" collapsed="false">
      <c r="A25" s="0" t="n">
        <v>23</v>
      </c>
      <c r="B25" s="0" t="s">
        <v>83</v>
      </c>
      <c r="C25" s="0" t="s">
        <v>84</v>
      </c>
      <c r="E25" s="0" t="s">
        <v>85</v>
      </c>
      <c r="F25" s="0" t="n">
        <v>2</v>
      </c>
      <c r="G25" s="0" t="s">
        <v>86</v>
      </c>
    </row>
    <row r="26" customFormat="false" ht="15" hidden="false" customHeight="false" outlineLevel="0" collapsed="false">
      <c r="A26" s="0" t="n">
        <v>24</v>
      </c>
      <c r="B26" s="0" t="s">
        <v>87</v>
      </c>
      <c r="C26" s="0" t="s">
        <v>88</v>
      </c>
      <c r="E26" s="0" t="s">
        <v>21</v>
      </c>
      <c r="F26" s="0" t="n">
        <v>4</v>
      </c>
      <c r="H26" s="0" t="n">
        <f aca="false">G26*F26</f>
        <v>0</v>
      </c>
    </row>
    <row r="27" customFormat="false" ht="15" hidden="false" customHeight="false" outlineLevel="0" collapsed="false">
      <c r="A27" s="0" t="n">
        <v>25</v>
      </c>
      <c r="B27" s="0" t="s">
        <v>89</v>
      </c>
      <c r="C27" s="0" t="s">
        <v>90</v>
      </c>
      <c r="E27" s="0" t="s">
        <v>91</v>
      </c>
      <c r="F27" s="0" t="n">
        <v>8</v>
      </c>
      <c r="G27" s="0" t="n">
        <v>0.01</v>
      </c>
      <c r="H27" s="0" t="n">
        <f aca="false">G27*F27</f>
        <v>0.08</v>
      </c>
    </row>
    <row r="28" customFormat="false" ht="15" hidden="false" customHeight="false" outlineLevel="0" collapsed="false">
      <c r="A28" s="0" t="n">
        <v>26</v>
      </c>
      <c r="B28" s="0" t="s">
        <v>92</v>
      </c>
      <c r="C28" s="0" t="s">
        <v>93</v>
      </c>
      <c r="E28" s="0" t="s">
        <v>21</v>
      </c>
      <c r="F28" s="0" t="n">
        <v>1</v>
      </c>
      <c r="G28" s="0" t="n">
        <v>0.17</v>
      </c>
    </row>
    <row r="29" customFormat="false" ht="15" hidden="false" customHeight="false" outlineLevel="0" collapsed="false">
      <c r="A29" s="0" t="n">
        <v>27</v>
      </c>
      <c r="B29" s="0" t="s">
        <v>94</v>
      </c>
      <c r="C29" s="0" t="s">
        <v>95</v>
      </c>
      <c r="E29" s="0" t="s">
        <v>52</v>
      </c>
      <c r="F29" s="0" t="n">
        <v>2</v>
      </c>
    </row>
    <row r="30" customFormat="false" ht="15" hidden="false" customHeight="false" outlineLevel="0" collapsed="false">
      <c r="A30" s="0" t="n">
        <v>28</v>
      </c>
      <c r="B30" s="0" t="s">
        <v>96</v>
      </c>
      <c r="E30" s="0" t="s">
        <v>34</v>
      </c>
    </row>
    <row r="31" customFormat="false" ht="15" hidden="false" customHeight="false" outlineLevel="0" collapsed="false">
      <c r="A31" s="0" t="n">
        <v>29</v>
      </c>
      <c r="B31" s="0" t="s">
        <v>97</v>
      </c>
      <c r="E31" s="0" t="s">
        <v>34</v>
      </c>
    </row>
    <row r="32" customFormat="false" ht="15" hidden="false" customHeight="false" outlineLevel="0" collapsed="false">
      <c r="A32" s="0" t="n">
        <v>30</v>
      </c>
      <c r="B32" s="0" t="s">
        <v>98</v>
      </c>
      <c r="C32" s="0" t="s">
        <v>99</v>
      </c>
      <c r="D32" s="0" t="s">
        <v>100</v>
      </c>
      <c r="E32" s="0" t="s">
        <v>34</v>
      </c>
      <c r="F32" s="0" t="n">
        <v>1</v>
      </c>
    </row>
    <row r="33" customFormat="false" ht="15" hidden="false" customHeight="false" outlineLevel="0" collapsed="false">
      <c r="A33" s="0" t="n">
        <v>31</v>
      </c>
      <c r="B33" s="0" t="s">
        <v>101</v>
      </c>
      <c r="C33" s="0" t="s">
        <v>102</v>
      </c>
      <c r="D33" s="0" t="s">
        <v>103</v>
      </c>
      <c r="E33" s="0" t="s">
        <v>34</v>
      </c>
      <c r="F33" s="0" t="n">
        <v>1</v>
      </c>
    </row>
    <row r="34" customFormat="false" ht="46.25" hidden="false" customHeight="false" outlineLevel="0" collapsed="false">
      <c r="A34" s="0" t="n">
        <v>32</v>
      </c>
      <c r="B34" s="0" t="s">
        <v>104</v>
      </c>
      <c r="C34" s="0" t="s">
        <v>105</v>
      </c>
      <c r="D34" s="12" t="s">
        <v>106</v>
      </c>
      <c r="F34" s="0" t="n">
        <v>1</v>
      </c>
      <c r="G34" s="0" t="n">
        <v>0.61</v>
      </c>
    </row>
    <row r="35" customFormat="false" ht="15" hidden="false" customHeight="false" outlineLevel="0" collapsed="false">
      <c r="A35" s="0" t="n">
        <v>33</v>
      </c>
      <c r="B35" s="0" t="s">
        <v>107</v>
      </c>
      <c r="C35" s="0" t="s">
        <v>108</v>
      </c>
      <c r="E35" s="0" t="s">
        <v>21</v>
      </c>
      <c r="F35" s="0" t="n">
        <v>1</v>
      </c>
      <c r="G35" s="0" t="n">
        <v>0.17</v>
      </c>
    </row>
    <row r="36" customFormat="false" ht="15" hidden="false" customHeight="false" outlineLevel="0" collapsed="false">
      <c r="A36" s="0" t="n">
        <v>34</v>
      </c>
      <c r="B36" s="0" t="s">
        <v>109</v>
      </c>
      <c r="C36" s="0" t="s">
        <v>110</v>
      </c>
      <c r="E36" s="0" t="s">
        <v>111</v>
      </c>
      <c r="G36" s="0" t="n">
        <v>0.22</v>
      </c>
      <c r="L36" s="0" t="s">
        <v>112</v>
      </c>
    </row>
    <row r="37" customFormat="false" ht="15" hidden="false" customHeight="false" outlineLevel="0" collapsed="false">
      <c r="A37" s="0" t="n">
        <v>35</v>
      </c>
      <c r="B37" s="0" t="s">
        <v>113</v>
      </c>
      <c r="C37" s="0" t="s">
        <v>114</v>
      </c>
      <c r="E37" s="0" t="s">
        <v>115</v>
      </c>
      <c r="F37" s="0" t="n">
        <v>2</v>
      </c>
    </row>
    <row r="38" customFormat="false" ht="15" hidden="false" customHeight="false" outlineLevel="0" collapsed="false">
      <c r="A38" s="0" t="n">
        <v>36</v>
      </c>
      <c r="B38" s="0" t="s">
        <v>116</v>
      </c>
      <c r="C38" s="13" t="s">
        <v>117</v>
      </c>
      <c r="F38" s="0" t="n">
        <v>1</v>
      </c>
    </row>
    <row r="39" customFormat="false" ht="15" hidden="false" customHeight="false" outlineLevel="0" collapsed="false">
      <c r="A39" s="0" t="n">
        <v>37</v>
      </c>
      <c r="B39" s="0" t="s">
        <v>118</v>
      </c>
      <c r="E39" s="0" t="s">
        <v>115</v>
      </c>
      <c r="F39" s="0" t="n">
        <v>1</v>
      </c>
    </row>
    <row r="40" customFormat="false" ht="15" hidden="false" customHeight="false" outlineLevel="0" collapsed="false">
      <c r="A40" s="0" t="n">
        <v>38</v>
      </c>
      <c r="B40" s="0" t="s">
        <v>119</v>
      </c>
      <c r="E40" s="0" t="s">
        <v>115</v>
      </c>
      <c r="F40" s="0" t="n">
        <v>1</v>
      </c>
    </row>
    <row r="41" customFormat="false" ht="15" hidden="false" customHeight="false" outlineLevel="0" collapsed="false">
      <c r="A41" s="0" t="n">
        <v>39</v>
      </c>
      <c r="B41" s="0" t="s">
        <v>120</v>
      </c>
      <c r="D41" s="13" t="s">
        <v>121</v>
      </c>
      <c r="E41" s="6" t="s">
        <v>115</v>
      </c>
      <c r="F41" s="0" t="n">
        <v>1</v>
      </c>
    </row>
    <row r="42" customFormat="false" ht="15" hidden="false" customHeight="false" outlineLevel="0" collapsed="false">
      <c r="A42" s="0" t="n">
        <v>40</v>
      </c>
      <c r="B42" s="0" t="s">
        <v>122</v>
      </c>
      <c r="E42" s="0" t="s">
        <v>115</v>
      </c>
      <c r="F42" s="0" t="n">
        <v>1</v>
      </c>
    </row>
    <row r="43" customFormat="false" ht="15" hidden="false" customHeight="false" outlineLevel="0" collapsed="false">
      <c r="A43" s="0" t="n">
        <v>41</v>
      </c>
      <c r="B43" s="0" t="s">
        <v>123</v>
      </c>
      <c r="D43" s="11" t="s">
        <v>124</v>
      </c>
      <c r="E43" s="6" t="s">
        <v>115</v>
      </c>
      <c r="F43" s="0" t="n">
        <v>1</v>
      </c>
    </row>
    <row r="44" customFormat="false" ht="15" hidden="false" customHeight="false" outlineLevel="0" collapsed="false">
      <c r="A44" s="0" t="n">
        <v>42</v>
      </c>
      <c r="B44" s="0" t="s">
        <v>125</v>
      </c>
      <c r="E44" s="0" t="s">
        <v>126</v>
      </c>
      <c r="F44" s="0" t="n">
        <v>1</v>
      </c>
    </row>
    <row r="45" customFormat="false" ht="15" hidden="false" customHeight="false" outlineLevel="0" collapsed="false">
      <c r="A45" s="0" t="n">
        <v>43</v>
      </c>
      <c r="B45" s="0" t="s">
        <v>127</v>
      </c>
      <c r="F45" s="0" t="n">
        <v>2</v>
      </c>
      <c r="L45" s="0" t="s">
        <v>128</v>
      </c>
    </row>
    <row r="46" customFormat="false" ht="15" hidden="false" customHeight="false" outlineLevel="0" collapsed="false">
      <c r="A46" s="0" t="n">
        <v>44</v>
      </c>
      <c r="B46" s="0" t="s">
        <v>129</v>
      </c>
      <c r="F46" s="0" t="n">
        <v>2</v>
      </c>
      <c r="L46" s="0" t="s">
        <v>130</v>
      </c>
    </row>
    <row r="47" customFormat="false" ht="15" hidden="false" customHeight="false" outlineLevel="0" collapsed="false">
      <c r="A47" s="0" t="n">
        <v>45</v>
      </c>
      <c r="B47" s="0" t="s">
        <v>131</v>
      </c>
      <c r="C47" s="0" t="s">
        <v>132</v>
      </c>
      <c r="D47" s="0" t="s">
        <v>133</v>
      </c>
      <c r="E47" s="0" t="s">
        <v>134</v>
      </c>
      <c r="F47" s="0" t="n">
        <v>1</v>
      </c>
      <c r="G47" s="0" t="n">
        <v>0.15</v>
      </c>
      <c r="I47" s="0" t="n">
        <v>8.9</v>
      </c>
    </row>
    <row r="48" customFormat="false" ht="15" hidden="false" customHeight="false" outlineLevel="0" collapsed="false">
      <c r="A48" s="0" t="n">
        <v>46</v>
      </c>
      <c r="B48" s="0" t="s">
        <v>135</v>
      </c>
      <c r="C48" s="0" t="s">
        <v>136</v>
      </c>
      <c r="E48" s="0" t="s">
        <v>30</v>
      </c>
    </row>
    <row r="49" customFormat="false" ht="15" hidden="false" customHeight="false" outlineLevel="0" collapsed="false">
      <c r="A49" s="0" t="n">
        <v>47</v>
      </c>
      <c r="B49" s="0" t="s">
        <v>137</v>
      </c>
      <c r="C49" s="0" t="s">
        <v>138</v>
      </c>
      <c r="E49" s="0" t="s">
        <v>21</v>
      </c>
      <c r="F49" s="0" t="n">
        <v>1</v>
      </c>
    </row>
    <row r="50" customFormat="false" ht="15" hidden="false" customHeight="false" outlineLevel="0" collapsed="false">
      <c r="A50" s="0" t="n">
        <v>48</v>
      </c>
      <c r="B50" s="0" t="s">
        <v>139</v>
      </c>
      <c r="C50" s="0" t="s">
        <v>140</v>
      </c>
      <c r="E50" s="0" t="s">
        <v>141</v>
      </c>
      <c r="F50" s="0" t="n">
        <v>2</v>
      </c>
    </row>
    <row r="51" customFormat="false" ht="15" hidden="false" customHeight="false" outlineLevel="0" collapsed="false">
      <c r="A51" s="0" t="n">
        <v>49</v>
      </c>
      <c r="B51" s="0" t="s">
        <v>142</v>
      </c>
      <c r="C51" s="0" t="s">
        <v>143</v>
      </c>
      <c r="E51" s="0" t="s">
        <v>21</v>
      </c>
      <c r="F51" s="0" t="n">
        <v>1</v>
      </c>
      <c r="G51" s="0" t="n">
        <v>0.5</v>
      </c>
    </row>
    <row r="52" customFormat="false" ht="15" hidden="false" customHeight="false" outlineLevel="0" collapsed="false">
      <c r="A52" s="0" t="n">
        <v>50</v>
      </c>
      <c r="B52" s="0" t="s">
        <v>144</v>
      </c>
      <c r="C52" s="0" t="s">
        <v>145</v>
      </c>
      <c r="E52" s="0" t="s">
        <v>21</v>
      </c>
      <c r="F52" s="0" t="n">
        <v>1</v>
      </c>
      <c r="G52" s="0" t="n">
        <v>0.15</v>
      </c>
    </row>
    <row r="53" customFormat="false" ht="15" hidden="false" customHeight="false" outlineLevel="0" collapsed="false">
      <c r="A53" s="0" t="n">
        <v>51</v>
      </c>
      <c r="B53" s="0" t="s">
        <v>146</v>
      </c>
      <c r="C53" s="0" t="s">
        <v>147</v>
      </c>
      <c r="D53" s="0" t="s">
        <v>148</v>
      </c>
      <c r="E53" s="0" t="s">
        <v>149</v>
      </c>
      <c r="F53" s="0" t="n">
        <v>1</v>
      </c>
    </row>
    <row r="54" customFormat="false" ht="15" hidden="false" customHeight="false" outlineLevel="0" collapsed="false">
      <c r="A54" s="0" t="n">
        <v>52</v>
      </c>
      <c r="B54" s="0" t="s">
        <v>150</v>
      </c>
      <c r="C54" s="0" t="s">
        <v>151</v>
      </c>
      <c r="E54" s="0" t="s">
        <v>16</v>
      </c>
      <c r="F54" s="0" t="n">
        <v>1</v>
      </c>
    </row>
    <row r="55" customFormat="false" ht="15" hidden="false" customHeight="false" outlineLevel="0" collapsed="false">
      <c r="A55" s="0" t="n">
        <v>53</v>
      </c>
      <c r="B55" s="0" t="s">
        <v>152</v>
      </c>
      <c r="C55" s="0" t="s">
        <v>153</v>
      </c>
      <c r="E55" s="0" t="s">
        <v>154</v>
      </c>
      <c r="F55" s="0" t="n">
        <v>1</v>
      </c>
    </row>
    <row r="56" customFormat="false" ht="15" hidden="false" customHeight="false" outlineLevel="0" collapsed="false">
      <c r="A56" s="0" t="n">
        <v>54</v>
      </c>
      <c r="B56" s="0" t="s">
        <v>155</v>
      </c>
      <c r="C56" s="13" t="s">
        <v>156</v>
      </c>
      <c r="D56" s="13" t="s">
        <v>156</v>
      </c>
      <c r="F56" s="0" t="n">
        <v>1</v>
      </c>
    </row>
    <row r="57" customFormat="false" ht="15" hidden="false" customHeight="false" outlineLevel="0" collapsed="false">
      <c r="A57" s="0" t="n">
        <v>55</v>
      </c>
      <c r="B57" s="0" t="s">
        <v>157</v>
      </c>
      <c r="C57" s="0" t="s">
        <v>158</v>
      </c>
      <c r="D57" s="13" t="s">
        <v>159</v>
      </c>
    </row>
    <row r="58" customFormat="false" ht="15" hidden="false" customHeight="false" outlineLevel="0" collapsed="false">
      <c r="A58" s="0" t="n">
        <v>56</v>
      </c>
      <c r="B58" s="0" t="s">
        <v>160</v>
      </c>
      <c r="C58" s="0" t="s">
        <v>161</v>
      </c>
      <c r="D58" s="5" t="s">
        <v>162</v>
      </c>
      <c r="E58" s="6" t="s">
        <v>16</v>
      </c>
      <c r="F58" s="0" t="n">
        <v>4</v>
      </c>
      <c r="I58" s="0" t="n">
        <v>6.67</v>
      </c>
    </row>
    <row r="59" customFormat="false" ht="15" hidden="false" customHeight="false" outlineLevel="0" collapsed="false">
      <c r="A59" s="0" t="n">
        <v>56</v>
      </c>
      <c r="B59" s="0" t="s">
        <v>163</v>
      </c>
      <c r="C59" s="0" t="s">
        <v>164</v>
      </c>
      <c r="D59" s="5" t="s">
        <v>165</v>
      </c>
      <c r="E59" s="6" t="s">
        <v>16</v>
      </c>
      <c r="F59" s="0" t="n">
        <v>4</v>
      </c>
      <c r="I59" s="0" t="n">
        <v>0.94</v>
      </c>
    </row>
  </sheetData>
  <mergeCells count="1">
    <mergeCell ref="A1:L1"/>
  </mergeCells>
  <hyperlinks>
    <hyperlink ref="K8" r:id="rId1" display="https://www.hobbyporter.com/products/e-power-d5545gs-aluminum-case-metal-grear-coreless-digital-45kg-011sec-hv-servo-3556"/>
    <hyperlink ref="D9" r:id="rId2" display="60645K11"/>
    <hyperlink ref="D10" r:id="rId3" display="8419K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2024-04-06T02:13:33Z</dcterms:created>
  <dc:creator>Clay McPherson</dc:creator>
  <dc:description/>
  <dc:language>en-US</dc:language>
  <cp:lastModifiedBy/>
  <dcterms:modified xsi:type="dcterms:W3CDTF">2024-10-28T23:38:17Z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